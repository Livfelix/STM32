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33c6bd14f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FINAL" sheetId="1" r:id="Ra2319e2adc6a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33444"/>
      <x:name val="Arial"/>
    </x:font>
    <x:font>
      <x:b/>
      <x:sz val="16"/>
      <x:color rgb="FF233444"/>
      <x:name val="Arial"/>
    </x:font>
    <x:font>
      <x:i/>
      <x:sz val="11"/>
      <x:color rgb="FF526171"/>
      <x:name val="Arial"/>
    </x:font>
    <x:font>
      <x:b/>
      <x:sz val="11"/>
      <x:color rgb="FFFFFFFF"/>
      <x:name val="Arial"/>
    </x:font>
    <x:font>
      <x:b/>
      <x:sz val="11"/>
      <x:color rgb="FF2334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45A"/>
      </x:patternFill>
    </x:fill>
    <x:fill>
      <x:patternFill patternType="solid">
        <x:fgColor rgb="FFFFF0D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D541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f93c7fc9245a2" /><Relationship Type="http://schemas.openxmlformats.org/officeDocument/2006/relationships/theme" Target="/xl/theme/theme1.xml" Id="R22327afe326e4a43" /><Relationship Type="http://schemas.openxmlformats.org/officeDocument/2006/relationships/sharedStrings" Target="/xl/sharedStrings.xml" Id="R4c7c97dac63042dc" /><Relationship Type="http://schemas.openxmlformats.org/officeDocument/2006/relationships/worksheet" Target="/xl/worksheets/sheet1.xml" Id="Ra2319e2adc6a46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45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.5" hidden="0" customWidth="1"/>
    <x:col min="2" max="2" width="40" hidden="0" customWidth="1"/>
    <x:col min="3" max="3" width="17.5" hidden="0" customWidth="1"/>
    <x:col min="4" max="4" width="33.75" hidden="0" customWidth="1"/>
    <x:col min="5" max="5" width="18.1299991607666" hidden="0" customWidth="1"/>
    <x:col min="6" max="6" width="14.380000114440918" hidden="0" customWidth="1"/>
    <x:col min="7" max="7" width="14.380000114440918" hidden="0" customWidth="1"/>
    <x:col min="8" max="8" width="3" hidden="0" customWidth="1"/>
    <x:col min="9" max="9" width="83.12999725341797" hidden="0" customWidth="1"/>
  </x:cols>
  <x:sheetData>
    <x:row r="2">
      <x:c r="A2" s="2" t="str">
        <x:v>SG6 - materiais para montagem mista (15/10/2026)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6 entradas, 9 gauges. Confirmado = declaração específica do usuário; inspeção física pendente.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3" t="str">
        <x:v>Pendente não significa zero. Sem preços ou autonomia presumidos. Ver manual revisado e guias atuais.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3" customHeight="1">
      <x:c r="A6" s="8" t="str">
        <x:v>ID</x:v>
      </x:c>
      <x:c r="B6" s="8" t="str">
        <x:v>Componente</x:v>
      </x:c>
      <x:c r="C6" s="8" t="str">
        <x:v>Necessário (un/conj)</x:v>
      </x:c>
      <x:c r="D6" s="8" t="str">
        <x:v>Compra declarada</x:v>
      </x:c>
      <x:c r="E6" s="8" t="str">
        <x:v>Qtd confirmada</x:v>
      </x:c>
      <x:c r="F6" s="8" t="str">
        <x:v>Falta</x:v>
      </x:c>
      <x:c r="G6" s="8" t="str">
        <x:v>Reserva</x:v>
      </x:c>
      <x:c r="H6" s="1" t="str"/>
      <x:c r="I6" s="16" t="str">
        <x:v>Fonte: especificação SG6 integridade/bateria, 15/10/2026, seções 2, 7 e 8; estoque declarado.</x:v>
      </x:c>
    </x:row>
    <x:row r="7" ht="39" customHeight="1">
      <x:c r="A7" s="10" t="str">
        <x:v>board</x:v>
      </x:c>
      <x:c r="B7" s="10" t="str">
        <x:v>Placa integrada ADS1256+STM32F103C8</x:v>
      </x:c>
      <x:c r="C7" s="13" t="n">
        <x:v>1</x:v>
      </x:c>
      <x:c r="D7" s="12" t="str">
        <x:v>Adquirida</x:v>
      </x:c>
      <x:c r="E7" s="14" t="n">
        <x:v>1</x:v>
      </x:c>
      <x:c r="F7" s="13" t="n">
        <x:f>IF(ISNUMBER(E7),MAX(0,C7-E7),"Pendente")</x:f>
        <x:v>0</x:v>
      </x:c>
      <x:c r="G7" s="13" t="n">
        <x:f>IF(ISNUMBER(E7),MAX(0,E7-C7),"Pendente")</x:f>
        <x:v>0</x:v>
      </x:c>
      <x:c r="H7" s="1"/>
      <x:c r="I7" s="10" t="str">
        <x:v>J2 5V; Blue Pill avulsa reserva.</x:v>
      </x:c>
    </x:row>
    <x:row r="8" ht="39" customHeight="1">
      <x:c r="A8" s="10" t="str">
        <x:v>gauges</x:v>
      </x:c>
      <x:c r="B8" s="10" t="str">
        <x:v>Gauge350ohms</x:v>
      </x:c>
      <x:c r="C8" s="13" t="n">
        <x:v>9</x:v>
      </x:c>
      <x:c r="D8" s="12" t="str">
        <x:v>Vários, sem limitação declarada</x:v>
      </x:c>
      <x:c r="E8" s="14" t="str">
        <x:v>Pendente</x:v>
      </x:c>
      <x:c r="F8" s="13" t="str">
        <x:f>IF(ISNUMBER(E8),MAX(0,C8-E8),"Pendente")</x:f>
        <x:v>Pendente</x:v>
      </x:c>
      <x:c r="G8" s="13" t="str">
        <x:f>IF(ISNUMBER(E8),MAX(0,E8-C8),"Pendente")</x:f>
        <x:v>Pendente</x:v>
      </x:c>
      <x:c r="H8" s="1"/>
      <x:c r="I8" s="10" t="str">
        <x:v>3 pares de flexão + 3 locais. GF/lote conferir. 12 para seis meias.</x:v>
      </x:c>
    </x:row>
    <x:row r="9" ht="39" customHeight="1">
      <x:c r="A9" s="10" t="str">
        <x:v>ina</x:v>
      </x:c>
      <x:c r="B9" s="10" t="str">
        <x:v>CJMCU-333</x:v>
      </x:c>
      <x:c r="C9" s="13" t="n">
        <x:v>6</x:v>
      </x:c>
      <x:c r="D9" s="12" t="str">
        <x:v>6 confirmados pelo usuário</x:v>
      </x:c>
      <x:c r="E9" s="14" t="n">
        <x:v>6</x:v>
      </x:c>
      <x:c r="F9" s="13" t="n">
        <x:f>IF(ISNUMBER(E9),MAX(0,C9-E9),"Pendente")</x:f>
        <x:v>0</x:v>
      </x:c>
      <x:c r="G9" s="13" t="n">
        <x:f>IF(ISNUMBER(E9),MAX(0,E9-C9),"Pendente")</x:f>
        <x:v>0</x:v>
      </x:c>
      <x:c r="H9" s="1"/>
      <x:c r="I9" s="10" t="str">
        <x:v>G físico100; Vref e3.3V abertos. Janela real medir.</x:v>
      </x:c>
    </x:row>
    <x:row r="10" ht="39" customHeight="1">
      <x:c r="A10" s="10" t="str">
        <x:v>opa</x:v>
      </x:c>
      <x:c r="B10" s="10" t="str">
        <x:v>OPA2364AIDR SOIC-8</x:v>
      </x:c>
      <x:c r="C10" s="13" t="n">
        <x:v>4</x:v>
      </x:c>
      <x:c r="D10" s="12" t="str">
        <x:v>12 confirmados pelo usuário</x:v>
      </x:c>
      <x:c r="E10" s="14" t="n">
        <x:v>12</x:v>
      </x:c>
      <x:c r="F10" s="13" t="n">
        <x:f>IF(ISNUMBER(E10),MAX(0,C10-E10),"Pendente")</x:f>
        <x:v>0</x:v>
      </x:c>
      <x:c r="G10" s="13" t="n">
        <x:f>IF(ISNUMBER(E10),MAX(0,E10-C10),"Pendente")</x:f>
        <x:v>8</x:v>
      </x:c>
      <x:c r="H10" s="1"/>
      <x:c r="I10" s="10" t="str">
        <x:v>3 CIs para filtros + 1 monitor; oito reserva.</x:v>
      </x:c>
    </x:row>
    <x:row r="11" ht="39" customHeight="1">
      <x:c r="A11" s="10" t="str">
        <x:v>soic</x:v>
      </x:c>
      <x:c r="B11" s="10" t="str">
        <x:v>Adaptador SOIC-8 ou PCB equivalente</x:v>
      </x:c>
      <x:c r="C11" s="13" t="n">
        <x:v>4</x:v>
      </x:c>
      <x:c r="D11" s="12" t="str">
        <x:v>Não informado</x:v>
      </x:c>
      <x:c r="E11" s="14" t="str">
        <x:v>Pendente</x:v>
      </x:c>
      <x:c r="F11" s="13" t="str">
        <x:f>IF(ISNUMBER(E11),MAX(0,C11-E11),"Pendente")</x:f>
        <x:v>Pendente</x:v>
      </x:c>
      <x:c r="G11" s="13" t="str">
        <x:f>IF(ISNUMBER(E11),MAX(0,E11-C11),"Pendente")</x:f>
        <x:v>Pendente</x:v>
      </x:c>
      <x:c r="H11" s="1"/>
      <x:c r="I11" s="10" t="str">
        <x:v>Conferir disponibilidade e orientação dos quatro OPA.</x:v>
      </x:c>
    </x:row>
    <x:row r="12" ht="39" customHeight="1">
      <x:c r="A12" s="10" t="str">
        <x:v>ref1k</x:v>
      </x:c>
      <x:c r="B12" s="10" t="str">
        <x:v>Referência1k /0.1%</x:v>
      </x:c>
      <x:c r="C12" s="13" t="n">
        <x:v>12</x:v>
      </x:c>
      <x:c r="D12" s="12" t="str">
        <x:v>Não confirmado para esta revisão</x:v>
      </x:c>
      <x:c r="E12" s="14" t="str">
        <x:v>Pendente</x:v>
      </x:c>
      <x:c r="F12" s="13" t="str">
        <x:f>IF(ISNUMBER(E12),MAX(0,C12-E12),"Pendente")</x:f>
        <x:v>Pendente</x:v>
      </x:c>
      <x:c r="G12" s="13" t="str">
        <x:f>IF(ISNUMBER(E12),MAX(0,E12-C12),"Pendente")</x:f>
        <x:v>Pendente</x:v>
      </x:c>
      <x:c r="H12" s="1"/>
      <x:c r="I12" s="10" t="str">
        <x:v>Um par por canal, TCR compatível e acoplamento térmico. Não usar5%.</x:v>
      </x:c>
    </x:row>
    <x:row r="13" ht="39" customHeight="1">
      <x:c r="A13" s="10" t="str">
        <x:v>ra350</x:v>
      </x:c>
      <x:c r="B13" s="10" t="str">
        <x:v>RA350 /0.1%</x:v>
      </x:c>
      <x:c r="C13" s="13" t="n">
        <x:v>6</x:v>
      </x:c>
      <x:c r="D13" s="12" t="str">
        <x:v>Compra anterior declarada</x:v>
      </x:c>
      <x:c r="E13" s="14" t="str">
        <x:v>Pendente</x:v>
      </x:c>
      <x:c r="F13" s="13" t="str">
        <x:f>IF(ISNUMBER(E13),MAX(0,C13-E13),"Pendente")</x:f>
        <x:v>Pendente</x:v>
      </x:c>
      <x:c r="G13" s="13" t="str">
        <x:f>IF(ISNUMBER(E13),MAX(0,E13-C13),"Pendente")</x:f>
        <x:v>Pendente</x:v>
      </x:c>
      <x:c r="H13" s="1"/>
      <x:c r="I13" s="10" t="str">
        <x:v>6 montados nos seletores, 3 bypassados. Lista antiga18; recontar valor/tolerância.</x:v>
      </x:c>
    </x:row>
    <x:row r="14" ht="39" customHeight="1">
      <x:c r="A14" s="10" t="str">
        <x:v>selector</x:v>
      </x:c>
      <x:c r="B14" s="10" t="str">
        <x:v>Seletor físico JP_QH</x:v>
      </x:c>
      <x:c r="C14" s="13" t="n">
        <x:v>6</x:v>
      </x:c>
      <x:c r="D14" s="12" t="str">
        <x:v>Não informado</x:v>
      </x:c>
      <x:c r="E14" s="14" t="str">
        <x:v>Pendente</x:v>
      </x:c>
      <x:c r="F14" s="13" t="str">
        <x:f>IF(ISNUMBER(E14),MAX(0,C14-E14),"Pendente")</x:f>
        <x:v>Pendente</x:v>
      </x:c>
      <x:c r="G14" s="13" t="str">
        <x:f>IF(ISNUMBER(E14),MAX(0,E14-C14),"Pendente")</x:f>
        <x:v>Pendente</x:v>
      </x:c>
      <x:c r="H14" s="1"/>
      <x:c r="I14" s="10" t="str">
        <x:v>W1 em RA(Q) ou VEXC(H). Exige trocar sensor/fiação e recalibrar; não é J3.</x:v>
      </x:c>
    </x:row>
    <x:row r="15" ht="39" customHeight="1">
      <x:c r="A15" s="10" t="str">
        <x:v>filter_r</x:v>
      </x:c>
      <x:c r="B15" s="10" t="str">
        <x:v>Resistor filtro2.15k</x:v>
      </x:c>
      <x:c r="C15" s="13" t="n">
        <x:v>12</x:v>
      </x:c>
      <x:c r="D15" s="12" t="str">
        <x:v>Compra anterior declarada</x:v>
      </x:c>
      <x:c r="E15" s="14" t="str">
        <x:v>Pendente</x:v>
      </x:c>
      <x:c r="F15" s="13" t="str">
        <x:f>IF(ISNUMBER(E15),MAX(0,C15-E15),"Pendente")</x:f>
        <x:v>Pendente</x:v>
      </x:c>
      <x:c r="G15" s="13" t="str">
        <x:f>IF(ISNUMBER(E15),MAX(0,E15-C15),"Pendente")</x:f>
        <x:v>Pendente</x:v>
      </x:c>
      <x:c r="H15" s="1"/>
      <x:c r="I15" s="10" t="str">
        <x:v>2 por canal; conferir valor/tolerância reais.</x:v>
      </x:c>
    </x:row>
    <x:row r="16" ht="39" customHeight="1">
      <x:c r="A16" s="10" t="str">
        <x:v>filter_220n</x:v>
      </x:c>
      <x:c r="B16" s="10" t="str">
        <x:v>Capacitor filtro220nF</x:v>
      </x:c>
      <x:c r="C16" s="13" t="n">
        <x:v>6</x:v>
      </x:c>
      <x:c r="D16" s="12" t="str">
        <x:v>Compra anterior declarada</x:v>
      </x:c>
      <x:c r="E16" s="14" t="str">
        <x:v>Pendente</x:v>
      </x:c>
      <x:c r="F16" s="13" t="str">
        <x:f>IF(ISNUMBER(E16),MAX(0,C16-E16),"Pendente")</x:f>
        <x:v>Pendente</x:v>
      </x:c>
      <x:c r="G16" s="13" t="str">
        <x:f>IF(ISNUMBER(E16),MAX(0,E16-C16),"Pendente")</x:f>
        <x:v>Pendente</x:v>
      </x:c>
      <x:c r="H16" s="1"/>
      <x:c r="I16" s="10" t="str">
        <x:v>C1 entre X e OUT, não GND. Conferir dielétrico/tolerância.</x:v>
      </x:c>
    </x:row>
    <x:row r="17" ht="39" customHeight="1">
      <x:c r="A17" s="10" t="str">
        <x:v>filter_100n</x:v>
      </x:c>
      <x:c r="B17" s="10" t="str">
        <x:v>Capacitor filtro100nF</x:v>
      </x:c>
      <x:c r="C17" s="13" t="n">
        <x:v>6</x:v>
      </x:c>
      <x:c r="D17" s="12" t="str">
        <x:v>Compra anterior declarada</x:v>
      </x:c>
      <x:c r="E17" s="14" t="str">
        <x:v>Pendente</x:v>
      </x:c>
      <x:c r="F17" s="13" t="str">
        <x:f>IF(ISNUMBER(E17),MAX(0,C17-E17),"Pendente")</x:f>
        <x:v>Pendente</x:v>
      </x:c>
      <x:c r="G17" s="13" t="str">
        <x:f>IF(ISNUMBER(E17),MAX(0,E17-C17),"Pendente")</x:f>
        <x:v>Pendente</x:v>
      </x:c>
      <x:c r="H17" s="1"/>
      <x:c r="I17" s="10" t="str">
        <x:v>C2 entre Y e AGND; não inclui desacoplamento.</x:v>
      </x:c>
    </x:row>
    <x:row r="18" ht="39" customHeight="1">
      <x:c r="A18" s="10" t="str">
        <x:v>monitor_r</x:v>
      </x:c>
      <x:c r="B18" s="10" t="str">
        <x:v>Monitor VEXC2.2k /0.1%</x:v>
      </x:c>
      <x:c r="C18" s="13" t="n">
        <x:v>2</x:v>
      </x:c>
      <x:c r="D18" s="12" t="str">
        <x:v>Compra anterior declarada</x:v>
      </x:c>
      <x:c r="E18" s="14" t="str">
        <x:v>Pendente</x:v>
      </x:c>
      <x:c r="F18" s="13" t="str">
        <x:f>IF(ISNUMBER(E18),MAX(0,C18-E18),"Pendente")</x:f>
        <x:v>Pendente</x:v>
      </x:c>
      <x:c r="G18" s="13" t="str">
        <x:f>IF(ISNUMBER(E18),MAX(0,E18-C18),"Pendente")</x:f>
        <x:v>Pendente</x:v>
      </x:c>
      <x:c r="H18" s="1"/>
      <x:c r="I18" s="10" t="str">
        <x:v>Par casado -&gt; buffer -&gt; IN7; fator nominal ADC0.49505.</x:v>
      </x:c>
    </x:row>
    <x:row r="19" ht="39" customHeight="1">
      <x:c r="A19" s="10" t="str">
        <x:v>battery_r</x:v>
      </x:c>
      <x:c r="B19" s="10" t="str">
        <x:v>Monitor bateria 10 kΩ</x:v>
      </x:c>
      <x:c r="C19" s="13" t="n">
        <x:v>2</x:v>
      </x:c>
      <x:c r="D19" s="12" t="str">
        <x:v>Compra anterior declarada</x:v>
      </x:c>
      <x:c r="E19" s="14" t="str">
        <x:v>Pendente</x:v>
      </x:c>
      <x:c r="F19" s="13" t="str">
        <x:f>IF(ISNUMBER(E19),MAX(0,C19-E19),"Pendente")</x:f>
        <x:v>Pendente</x:v>
      </x:c>
      <x:c r="G19" s="13" t="str">
        <x:f>IF(ISNUMBER(E19),MAX(0,E19-C19),"Pendente")</x:f>
        <x:v>Pendente</x:v>
      </x:c>
      <x:c r="H19" s="1"/>
      <x:c r="I19" s="10" t="str">
        <x:v>SW_BAT+ pós-chave -&gt; 10k -&gt; PB0 -&gt; 10k -&gt; GND; 100nF em PB0. Medir par/VDDA.</x:v>
      </x:c>
    </x:row>
    <x:row r="20" ht="39" customHeight="1">
      <x:c r="A20" s="10" t="str">
        <x:v>pull</x:v>
      </x:c>
      <x:c r="B20" s="10" t="str">
        <x:v>Pull-up CS 10 kΩ</x:v>
      </x:c>
      <x:c r="C20" s="13" t="n">
        <x:v>3</x:v>
      </x:c>
      <x:c r="D20" s="12" t="str">
        <x:v>Compra anterior declarada</x:v>
      </x:c>
      <x:c r="E20" s="14" t="str">
        <x:v>Pendente</x:v>
      </x:c>
      <x:c r="F20" s="13" t="str">
        <x:f>IF(ISNUMBER(E20),MAX(0,C20-E20),"Pendente")</x:f>
        <x:v>Pendente</x:v>
      </x:c>
      <x:c r="G20" s="13" t="str">
        <x:f>IF(ISNUMBER(E20),MAX(0,E20-C20),"Pendente")</x:f>
        <x:v>Pendente</x:v>
      </x:c>
      <x:c r="H20" s="1"/>
      <x:c r="I20" s="10" t="str">
        <x:v>LCD/toque/SD para 3,3V; descontar existentes. Com bateria: cinco 10k funcionais.</x:v>
      </x:c>
    </x:row>
    <x:row r="21" ht="39" customHeight="1">
      <x:c r="A21" s="10" t="str">
        <x:v>shunt</x:v>
      </x:c>
      <x:c r="B21" s="10" t="str">
        <x:v>Shunt100k /0.1%</x:v>
      </x:c>
      <x:c r="C21" s="13" t="n">
        <x:v>1</x:v>
      </x:c>
      <x:c r="D21" s="12" t="str">
        <x:v>Compra anterior declarada</x:v>
      </x:c>
      <x:c r="E21" s="14" t="str">
        <x:v>Pendente</x:v>
      </x:c>
      <x:c r="F21" s="13" t="str">
        <x:f>IF(ISNUMBER(E21),MAX(0,C21-E21),"Pendente")</x:f>
        <x:v>Pendente</x:v>
      </x:c>
      <x:c r="G21" s="13" t="str">
        <x:f>IF(ISNUMBER(E21),MAX(0,E21-C21),"Pendente")</x:f>
        <x:v>Pendente</x:v>
      </x:c>
      <x:c r="H21" s="1"/>
      <x:c r="I21" s="10" t="str">
        <x:v>Aplicador manual reutilizável no sensor. Medir valor real; UI100k nominal.</x:v>
      </x:c>
    </x:row>
    <x:row r="22" ht="39" customHeight="1">
      <x:c r="A22" s="10" t="str">
        <x:v>decouple_100n</x:v>
      </x:c>
      <x:c r="B22" s="10" t="str">
        <x:v>Desacoplamento100nF INA/OPA</x:v>
      </x:c>
      <x:c r="C22" s="13" t="n">
        <x:v>10</x:v>
      </x:c>
      <x:c r="D22" s="12" t="str">
        <x:v>Compra anterior declarada</x:v>
      </x:c>
      <x:c r="E22" s="14" t="str">
        <x:v>Pendente</x:v>
      </x:c>
      <x:c r="F22" s="13" t="str">
        <x:f>IF(ISNUMBER(E22),MAX(0,C22-E22),"Pendente")</x:f>
        <x:v>Pendente</x:v>
      </x:c>
      <x:c r="G22" s="13" t="str">
        <x:f>IF(ISNUMBER(E22),MAX(0,E22-C22),"Pendente")</x:f>
        <x:v>Pendente</x:v>
      </x:c>
      <x:c r="H22" s="1"/>
      <x:c r="I22" s="10" t="str">
        <x:v>6 INA + 4 OPA; conferir caps onboard.</x:v>
      </x:c>
    </x:row>
    <x:row r="23" ht="39" customHeight="1">
      <x:c r="A23" s="10" t="str">
        <x:v>decouple_10u</x:v>
      </x:c>
      <x:c r="B23" s="10" t="str">
        <x:v>Desacoplamento10uF INA/OPA</x:v>
      </x:c>
      <x:c r="C23" s="13" t="n">
        <x:v>10</x:v>
      </x:c>
      <x:c r="D23" s="12" t="str">
        <x:v>Compra anterior declarada</x:v>
      </x:c>
      <x:c r="E23" s="14" t="str">
        <x:v>Pendente</x:v>
      </x:c>
      <x:c r="F23" s="13" t="str">
        <x:f>IF(ISNUMBER(E23),MAX(0,C23-E23),"Pendente")</x:f>
        <x:v>Pendente</x:v>
      </x:c>
      <x:c r="G23" s="13" t="str">
        <x:f>IF(ISNUMBER(E23),MAX(0,E23-C23),"Pendente")</x:f>
        <x:v>Pendente</x:v>
      </x:c>
      <x:c r="H23" s="1"/>
      <x:c r="I23" s="10" t="str">
        <x:v>6 INA + 4 OPA; polaridade/tensão conforme rail5V.</x:v>
      </x:c>
    </x:row>
    <x:row r="24" ht="39" customHeight="1">
      <x:c r="A24" s="10" t="str">
        <x:v>extra_100n</x:v>
      </x:c>
      <x:c r="B24" s="10" t="str">
        <x:v>Capacitor100nF extra</x:v>
      </x:c>
      <x:c r="C24" s="13" t="n">
        <x:v>5</x:v>
      </x:c>
      <x:c r="D24" s="12" t="str">
        <x:v>Compra anterior declarada</x:v>
      </x:c>
      <x:c r="E24" s="14" t="str">
        <x:v>Pendente</x:v>
      </x:c>
      <x:c r="F24" s="13" t="str">
        <x:f>IF(ISNUMBER(E24),MAX(0,C24-E24),"Pendente")</x:f>
        <x:v>Pendente</x:v>
      </x:c>
      <x:c r="G24" s="13" t="str">
        <x:f>IF(ISNUMBER(E24),MAX(0,E24-C24),"Pendente")</x:f>
        <x:v>Pendente</x:v>
      </x:c>
      <x:c r="H24" s="1"/>
      <x:c r="I24" s="10" t="str">
        <x:v>Monitor VEXC, bateria, cluster, boost, SD.</x:v>
      </x:c>
    </x:row>
    <x:row r="25" ht="39" customHeight="1">
      <x:c r="A25" s="10" t="str">
        <x:v>analog_bulk</x:v>
      </x:c>
      <x:c r="B25" s="10" t="str">
        <x:v>Cluster analógico47uF</x:v>
      </x:c>
      <x:c r="C25" s="13" t="n">
        <x:v>1</x:v>
      </x:c>
      <x:c r="D25" s="12" t="str">
        <x:v>Compra anterior declarada</x:v>
      </x:c>
      <x:c r="E25" s="14" t="str">
        <x:v>Pendente</x:v>
      </x:c>
      <x:c r="F25" s="13" t="str">
        <x:f>IF(ISNUMBER(E25),MAX(0,C25-E25),"Pendente")</x:f>
        <x:v>Pendente</x:v>
      </x:c>
      <x:c r="G25" s="13" t="str">
        <x:f>IF(ISNUMBER(E25),MAX(0,E25-C25),"Pendente")</x:f>
        <x:v>Pendente</x:v>
      </x:c>
      <x:c r="H25" s="1"/>
      <x:c r="I25" s="10" t="str">
        <x:v>Pós-L1; tensão nominal compatível com5V.</x:v>
      </x:c>
    </x:row>
    <x:row r="26" ht="39" customHeight="1">
      <x:c r="A26" s="10" t="str">
        <x:v>boost_bulk</x:v>
      </x:c>
      <x:c r="B26" s="10" t="str">
        <x:v>Boost100-470uF /10V</x:v>
      </x:c>
      <x:c r="C26" s="13" t="n">
        <x:v>1</x:v>
      </x:c>
      <x:c r="D26" s="12" t="str">
        <x:v>Compra anterior declarada</x:v>
      </x:c>
      <x:c r="E26" s="14" t="str">
        <x:v>Pendente</x:v>
      </x:c>
      <x:c r="F26" s="13" t="str">
        <x:f>IF(ISNUMBER(E26),MAX(0,C26-E26),"Pendente")</x:f>
        <x:v>Pendente</x:v>
      </x:c>
      <x:c r="G26" s="13" t="str">
        <x:f>IF(ISNUMBER(E26),MAX(0,E26-C26),"Pendente")</x:f>
        <x:v>Pendente</x:v>
      </x:c>
      <x:c r="H26" s="1"/>
      <x:c r="I26" s="10" t="str">
        <x:v>Valor final depende de partida/estabilidade.</x:v>
      </x:c>
    </x:row>
    <x:row r="27" ht="39" customHeight="1">
      <x:c r="A27" s="10" t="str">
        <x:v>sd_bulk</x:v>
      </x:c>
      <x:c r="B27" s="10" t="str">
        <x:v>SD47-100uF</x:v>
      </x:c>
      <x:c r="C27" s="13" t="n">
        <x:v>1</x:v>
      </x:c>
      <x:c r="D27" s="12" t="str">
        <x:v>Compra anterior declarada</x:v>
      </x:c>
      <x:c r="E27" s="14" t="str">
        <x:v>Pendente</x:v>
      </x:c>
      <x:c r="F27" s="13" t="str">
        <x:f>IF(ISNUMBER(E27),MAX(0,C27-E27),"Pendente")</x:f>
        <x:v>Pendente</x:v>
      </x:c>
      <x:c r="G27" s="13" t="str">
        <x:f>IF(ISNUMBER(E27),MAX(0,E27-C27),"Pendente")</x:f>
        <x:v>Pendente</x:v>
      </x:c>
      <x:c r="H27" s="1"/>
      <x:c r="I27" s="10" t="str">
        <x:v>Próximo ao módulo3.3V; medir transientes.</x:v>
      </x:c>
    </x:row>
    <x:row r="28" ht="39" customHeight="1">
      <x:c r="A28" s="10" t="str">
        <x:v>lcd</x:v>
      </x:c>
      <x:c r="B28" s="10" t="str">
        <x:v>MSP2807 + XPT2046</x:v>
      </x:c>
      <x:c r="C28" s="13" t="n">
        <x:v>1</x:v>
      </x:c>
      <x:c r="D28" s="12" t="str">
        <x:v>Adquirida</x:v>
      </x:c>
      <x:c r="E28" s="14" t="n">
        <x:v>1</x:v>
      </x:c>
      <x:c r="F28" s="13" t="n">
        <x:f>IF(ISNUMBER(E28),MAX(0,C28-E28),"Pendente")</x:f>
        <x:v>0</x:v>
      </x:c>
      <x:c r="G28" s="13" t="n">
        <x:f>IF(ISNUMBER(E28),MAX(0,E28-C28),"Pendente")</x:f>
        <x:v>0</x:v>
      </x:c>
      <x:c r="H28" s="1"/>
      <x:c r="I28" s="10" t="str">
        <x:v>VCC5V/J1 aberto; IO3.3V; slot SD tela sem uso.</x:v>
      </x:c>
    </x:row>
    <x:row r="29" ht="39" customHeight="1">
      <x:c r="A29" s="10" t="str">
        <x:v>sd</x:v>
      </x:c>
      <x:c r="B29" s="10" t="str">
        <x:v>Módulo SD SPI3.3V</x:v>
      </x:c>
      <x:c r="C29" s="13" t="n">
        <x:v>1</x:v>
      </x:c>
      <x:c r="D29" s="12" t="str">
        <x:v>Adquirido</x:v>
      </x:c>
      <x:c r="E29" s="14" t="n">
        <x:v>1</x:v>
      </x:c>
      <x:c r="F29" s="13" t="n">
        <x:f>IF(ISNUMBER(E29),MAX(0,C29-E29),"Pendente")</x:f>
        <x:v>0</x:v>
      </x:c>
      <x:c r="G29" s="13" t="n">
        <x:f>IF(ISNUMBER(E29),MAX(0,E29-C29),"Pendente")</x:f>
        <x:v>0</x:v>
      </x:c>
      <x:c r="H29" s="1"/>
      <x:c r="I29" s="10" t="str">
        <x:v>P9-1 VDD/P9-2 GND; PDF5V é outra variante.</x:v>
      </x:c>
    </x:row>
    <x:row r="30" ht="39" customHeight="1">
      <x:c r="A30" s="10" t="str">
        <x:v>card</x:v>
      </x:c>
      <x:c r="B30" s="10" t="str">
        <x:v>Cartão SDHC FAT32</x:v>
      </x:c>
      <x:c r="C30" s="13" t="n">
        <x:v>1</x:v>
      </x:c>
      <x:c r="D30" s="12" t="str">
        <x:v>Não informado</x:v>
      </x:c>
      <x:c r="E30" s="14" t="str">
        <x:v>Pendente</x:v>
      </x:c>
      <x:c r="F30" s="13" t="str">
        <x:f>IF(ISNUMBER(E30),MAX(0,C30-E30),"Pendente")</x:f>
        <x:v>Pendente</x:v>
      </x:c>
      <x:c r="G30" s="13" t="str">
        <x:f>IF(ISNUMBER(E30),MAX(0,E30-C30),"Pendente")</x:f>
        <x:v>Pendente</x:v>
      </x:c>
      <x:c r="H30" s="1"/>
      <x:c r="I30" s="10" t="str">
        <x:v>8-32GB inicial; validar latência/cartão; sem promessa de horas.</x:v>
      </x:c>
    </x:row>
    <x:row r="31" ht="39" customHeight="1">
      <x:c r="A31" s="10" t="str">
        <x:v>uart</x:v>
      </x:c>
      <x:c r="B31" s="10" t="str">
        <x:v>USB-UART3.3V /921600</x:v>
      </x:c>
      <x:c r="C31" s="13" t="n">
        <x:v>1</x:v>
      </x:c>
      <x:c r="D31" s="12" t="str">
        <x:v>Não informado</x:v>
      </x:c>
      <x:c r="E31" s="14" t="str">
        <x:v>Pendente</x:v>
      </x:c>
      <x:c r="F31" s="13" t="str">
        <x:f>IF(ISNUMBER(E31),MAX(0,C31-E31),"Pendente")</x:f>
        <x:v>Pendente</x:v>
      </x:c>
      <x:c r="G31" s="13" t="str">
        <x:f>IF(ISNUMBER(E31),MAX(0,E31-C31),"Pendente")</x:f>
        <x:v>Pendente</x:v>
      </x:c>
      <x:c r="H31" s="1"/>
      <x:c r="I31" s="10" t="str">
        <x:v>PA9 -&gt; RX e GND; TX/VCC abertos.</x:v>
      </x:c>
    </x:row>
    <x:row r="32" ht="39" customHeight="1">
      <x:c r="A32" s="10" t="str">
        <x:v>stlink</x:v>
      </x:c>
      <x:c r="B32" s="10" t="str">
        <x:v>ST-Link V2 Mini</x:v>
      </x:c>
      <x:c r="C32" s="13" t="n">
        <x:v>1</x:v>
      </x:c>
      <x:c r="D32" s="12" t="str">
        <x:v>Adquirido</x:v>
      </x:c>
      <x:c r="E32" s="14" t="n">
        <x:v>1</x:v>
      </x:c>
      <x:c r="F32" s="13" t="n">
        <x:f>IF(ISNUMBER(E32),MAX(0,C32-E32),"Pendente")</x:f>
        <x:v>0</x:v>
      </x:c>
      <x:c r="G32" s="13" t="n">
        <x:f>IF(ISNUMBER(E32),MAX(0,E32-C32),"Pendente")</x:f>
        <x:v>0</x:v>
      </x:c>
      <x:c r="H32" s="1"/>
      <x:c r="I32" s="10" t="str">
        <x:v>JTAG1 SWDIO7/SWCLK9/NRST15; clone não alimenta a placa.</x:v>
      </x:c>
    </x:row>
    <x:row r="33" ht="39" customHeight="1">
      <x:c r="A33" s="10" t="str">
        <x:v>boost</x:v>
      </x:c>
      <x:c r="B33" s="10" t="str">
        <x:v>MT3608</x:v>
      </x:c>
      <x:c r="C33" s="13" t="n">
        <x:v>1</x:v>
      </x:c>
      <x:c r="D33" s="12" t="str">
        <x:v>Adquirido</x:v>
      </x:c>
      <x:c r="E33" s="14" t="n">
        <x:v>1</x:v>
      </x:c>
      <x:c r="F33" s="13" t="n">
        <x:f>IF(ISNUMBER(E33),MAX(0,C33-E33),"Pendente")</x:f>
        <x:v>0</x:v>
      </x:c>
      <x:c r="G33" s="13" t="n">
        <x:f>IF(ISNUMBER(E33),MAX(0,E33-C33),"Pendente")</x:f>
        <x:v>0</x:v>
      </x:c>
      <x:c r="H33" s="1"/>
      <x:c r="I33" s="10" t="str">
        <x:v>Regular5.00V; datasheet1.2MHz; medir ripple/corrente.</x:v>
      </x:c>
    </x:row>
    <x:row r="34" ht="39" customHeight="1">
      <x:c r="A34" s="10" t="str">
        <x:v>charger</x:v>
      </x:c>
      <x:c r="B34" s="10" t="str">
        <x:v>TP4056 carregador 1S</x:v>
      </x:c>
      <x:c r="C34" s="13" t="n">
        <x:v>1</x:v>
      </x:c>
      <x:c r="D34" s="12" t="str">
        <x:v>Adquirido</x:v>
      </x:c>
      <x:c r="E34" s="14" t="n">
        <x:v>1</x:v>
      </x:c>
      <x:c r="F34" s="13" t="n">
        <x:f>IF(ISNUMBER(E34),MAX(0,C34-E34),"Pendente")</x:f>
        <x:v>0</x:v>
      </x:c>
      <x:c r="G34" s="13" t="n">
        <x:f>IF(ISNUMBER(E34),MAX(0,E34-C34),"Pendente")</x:f>
        <x:v>0</x:v>
      </x:c>
      <x:c r="H34" s="1"/>
      <x:c r="I34" s="10" t="str">
        <x:v>Carga só OFF; LEDs visíveis. Revisão/proteção e corrente de carga a conferir; sem PowerPath.</x:v>
      </x:c>
    </x:row>
    <x:row r="35" ht="39" customHeight="1">
      <x:c r="A35" s="10" t="str">
        <x:v>protection</x:v>
      </x:c>
      <x:c r="B35" s="10" t="str">
        <x:v>Proteção real Li-ion1S</x:v>
      </x:c>
      <x:c r="C35" s="13" t="n">
        <x:v>1</x:v>
      </x:c>
      <x:c r="D35" s="12" t="str">
        <x:v>Não comprovada no carregador</x:v>
      </x:c>
      <x:c r="E35" s="14" t="str">
        <x:v>Pendente</x:v>
      </x:c>
      <x:c r="F35" s="13" t="str">
        <x:f>IF(ISNUMBER(E35),MAX(0,C35-E35),"Pendente")</x:f>
        <x:v>Pendente</x:v>
      </x:c>
      <x:c r="G35" s="13" t="str">
        <x:f>IF(ISNUMBER(E35),MAX(0,E35-C35),"Pendente")</x:f>
        <x:v>Pendente</x:v>
      </x:c>
      <x:c r="H35" s="1"/>
      <x:c r="I35" s="10" t="str">
        <x:v>Conferir descarga/curto e OUT protegido; não presumir PowerPath.</x:v>
      </x:c>
    </x:row>
    <x:row r="36" ht="39" customHeight="1">
      <x:c r="A36" s="10" t="str">
        <x:v>cell</x:v>
      </x:c>
      <x:c r="B36" s="10" t="str">
        <x:v>Célula 18650 protegida + suporte</x:v>
      </x:c>
      <x:c r="C36" s="13" t="n">
        <x:v>1</x:v>
      </x:c>
      <x:c r="D36" s="12" t="str">
        <x:v>Suporte declarado; célula pendente</x:v>
      </x:c>
      <x:c r="E36" s="14" t="str">
        <x:v>Pendente</x:v>
      </x:c>
      <x:c r="F36" s="13" t="str">
        <x:f>IF(ISNUMBER(E36),MAX(0,C36-E36),"Pendente")</x:f>
        <x:v>Pendente</x:v>
      </x:c>
      <x:c r="G36" s="13" t="str">
        <x:f>IF(ISNUMBER(E36),MAX(0,E36-C36),"Pendente")</x:f>
        <x:v>Pendente</x:v>
      </x:c>
      <x:c r="H36" s="1"/>
      <x:c r="I36" s="10" t="str">
        <x:v>Um conjunto. Modelo/capacidade/proteção/encaixe pendentes; medir autonomia e picos.</x:v>
      </x:c>
    </x:row>
    <x:row r="37" ht="39" customHeight="1">
      <x:c r="A37" s="10" t="str">
        <x:v>connector</x:v>
      </x:c>
      <x:c r="B37" s="10" t="str">
        <x:v>Conjunto conector sensor 5 contatos</x:v>
      </x:c>
      <x:c r="C37" s="13" t="n">
        <x:v>6</x:v>
      </x:c>
      <x:c r="D37" s="12" t="str">
        <x:v>Compra anterior declarada</x:v>
      </x:c>
      <x:c r="E37" s="14" t="str">
        <x:v>Pendente</x:v>
      </x:c>
      <x:c r="F37" s="13" t="str">
        <x:f>IF(ISNUMBER(E37),MAX(0,C37-E37),"Pendente")</x:f>
        <x:v>Pendente</x:v>
      </x:c>
      <x:c r="G37" s="13" t="str">
        <x:f>IF(ISNUMBER(E37),MAX(0,E37-C37),"Pendente")</x:f>
        <x:v>Pendente</x:v>
      </x:c>
      <x:c r="H37" s="1"/>
      <x:c r="I37" s="10" t="str">
        <x:v>6 pares painel/cabo = 12 metades; 0,50 mm², trava/alívio. Vista/pinout e família após medir caixa.</x:v>
      </x:c>
    </x:row>
    <x:row r="38" ht="39" customHeight="1">
      <x:c r="A38" s="10" t="str">
        <x:v>cable</x:v>
      </x:c>
      <x:c r="B38" s="10" t="str">
        <x:v>Cabo 4 vias + dreno, 0,50 mm², até 1 m</x:v>
      </x:c>
      <x:c r="C38" s="13" t="n">
        <x:v>6</x:v>
      </x:c>
      <x:c r="D38" s="12" t="str">
        <x:v>Cabo blindado existente; recontar trechos</x:v>
      </x:c>
      <x:c r="E38" s="14" t="str">
        <x:v>Pendente</x:v>
      </x:c>
      <x:c r="F38" s="13" t="str">
        <x:f>IF(ISNUMBER(E38),MAX(0,C38-E38),"Pendente")</x:f>
        <x:v>Pendente</x:v>
      </x:c>
      <x:c r="G38" s="13" t="str">
        <x:f>IF(ISNUMBER(E38),MAX(0,E38-C38),"Pendente")</x:f>
        <x:v>Pendente</x:v>
      </x:c>
      <x:c r="H38" s="1"/>
      <x:c r="I38" s="10" t="str">
        <x:v>3 ativas W1/W2/W3, quarta isolada nas duas pontas; dreno só no equipamento. 2 vias não atende.</x:v>
      </x:c>
    </x:row>
    <x:row r="39" ht="39" customHeight="1">
      <x:c r="A39" s="10" t="str">
        <x:v>front</x:v>
      </x:c>
      <x:c r="B39" s="10" t="str">
        <x:v>PCB/perfboard front-end</x:v>
      </x:c>
      <x:c r="C39" s="13" t="n">
        <x:v>1</x:v>
      </x:c>
      <x:c r="D39" s="12" t="str">
        <x:v>Compra anterior declarada</x:v>
      </x:c>
      <x:c r="E39" s="14" t="str">
        <x:v>Pendente</x:v>
      </x:c>
      <x:c r="F39" s="13" t="str">
        <x:f>IF(ISNUMBER(E39),MAX(0,C39-E39),"Pendente")</x:f>
        <x:v>Pendente</x:v>
      </x:c>
      <x:c r="G39" s="13" t="str">
        <x:f>IF(ISNUMBER(E39),MAX(0,E39-C39),"Pendente")</x:f>
        <x:v>Pendente</x:v>
      </x:c>
      <x:c r="H39" s="1"/>
      <x:c r="I39" s="10" t="str">
        <x:v>Dimensões/furação após medir módulos; sem CAD de fabricação.</x:v>
      </x:c>
    </x:row>
    <x:row r="40" ht="39" customHeight="1">
      <x:c r="A40" s="10" t="str">
        <x:v>case</x:v>
      </x:c>
      <x:c r="B40" s="10" t="str">
        <x:v>Gabinete e chave ON/OFF</x:v>
      </x:c>
      <x:c r="C40" s="13" t="n">
        <x:v>1</x:v>
      </x:c>
      <x:c r="D40" s="12" t="str">
        <x:v>Compra anterior declarada</x:v>
      </x:c>
      <x:c r="E40" s="14" t="str">
        <x:v>Pendente</x:v>
      </x:c>
      <x:c r="F40" s="13" t="str">
        <x:f>IF(ISNUMBER(E40),MAX(0,C40-E40),"Pendente")</x:f>
        <x:v>Pendente</x:v>
      </x:c>
      <x:c r="G40" s="13" t="str">
        <x:f>IF(ISNUMBER(E40),MAX(0,E40-C40),"Pendente")</x:f>
        <x:v>Pendente</x:v>
      </x:c>
      <x:c r="H40" s="1"/>
      <x:c r="I40" s="10" t="str">
        <x:v>Envelope proposto180x130x65mm; medir encaixe; chave após OUT+.</x:v>
      </x:c>
    </x:row>
    <x:row r="41" ht="39" customHeight="1">
      <x:c r="A41" s="10" t="str">
        <x:v>install</x:v>
      </x:c>
      <x:c r="B41" s="10" t="str">
        <x:v>Adesivo, terminais, proteção gauges</x:v>
      </x:c>
      <x:c r="C41" s="13" t="n">
        <x:v>1</x:v>
      </x:c>
      <x:c r="D41" s="12" t="str">
        <x:v>Não confirmado</x:v>
      </x:c>
      <x:c r="E41" s="14" t="str">
        <x:v>Pendente</x:v>
      </x:c>
      <x:c r="F41" s="13" t="str">
        <x:f>IF(ISNUMBER(E41),MAX(0,C41-E41),"Pendente")</x:f>
        <x:v>Pendente</x:v>
      </x:c>
      <x:c r="G41" s="13" t="str">
        <x:f>IF(ISNUMBER(E41),MAX(0,E41-C41),"Pendente")</x:f>
        <x:v>Pendente</x:v>
      </x:c>
      <x:c r="H41" s="1"/>
      <x:c r="I41" s="10" t="str">
        <x:v>Conjunto conforme material/temperatura; alívio de tração.</x:v>
      </x:c>
    </x:row>
    <x:row r="42" ht="39" customHeight="1">
      <x:c r="A42" s="10" t="str">
        <x:v>assembly</x:v>
      </x:c>
      <x:c r="B42" s="10" t="str">
        <x:v>Fiação, headers, espaçadores, prensa-cabos</x:v>
      </x:c>
      <x:c r="C42" s="13" t="n">
        <x:v>1</x:v>
      </x:c>
      <x:c r="D42" s="12" t="str">
        <x:v>Compra anterior declarada</x:v>
      </x:c>
      <x:c r="E42" s="14" t="str">
        <x:v>Pendente</x:v>
      </x:c>
      <x:c r="F42" s="13" t="str">
        <x:f>IF(ISNUMBER(E42),MAX(0,C42-E42),"Pendente")</x:f>
        <x:v>Pendente</x:v>
      </x:c>
      <x:c r="G42" s="13" t="str">
        <x:f>IF(ISNUMBER(E42),MAX(0,E42-C42),"Pendente")</x:f>
        <x:v>Pendente</x:v>
      </x:c>
      <x:c r="H42" s="1"/>
      <x:c r="I42" s="10" t="str">
        <x:v>Conjunto após levantamento físico; cotas finais pendentes.</x:v>
      </x:c>
    </x:row>
    <x:row r="43" ht="39" customHeight="1">
      <x:c r="A43" s="10" t="str">
        <x:v>ldo</x:v>
      </x:c>
      <x:c r="B43" s="10" t="str">
        <x:v>AMS1117 externo</x:v>
      </x:c>
      <x:c r="C43" s="13" t="n">
        <x:v>0</x:v>
      </x:c>
      <x:c r="D43" s="12" t="str">
        <x:v>Adquirido</x:v>
      </x:c>
      <x:c r="E43" s="14" t="n">
        <x:v>1</x:v>
      </x:c>
      <x:c r="F43" s="13" t="n">
        <x:f>IF(ISNUMBER(E43),MAX(0,C43-E43),"Pendente")</x:f>
        <x:v>0</x:v>
      </x:c>
      <x:c r="G43" s="13" t="n">
        <x:f>IF(ISNUMBER(E43),MAX(0,E43-C43),"Pendente")</x:f>
        <x:v>1</x:v>
      </x:c>
      <x:c r="H43" s="1"/>
      <x:c r="I43" s="10" t="str">
        <x:v>Reserva/alternativa SD após ensaio; nunca paralelizar saídas.</x:v>
      </x:c>
    </x:row>
    <x:row r="44" ht="39" customHeight="1">
      <x:c r="A44" s="10" t="str">
        <x:v>can</x:v>
      </x:c>
      <x:c r="B44" s="10" t="str">
        <x:v>TJA1050</x:v>
      </x:c>
      <x:c r="C44" s="13" t="n">
        <x:v>0</x:v>
      </x:c>
      <x:c r="D44" s="12" t="str">
        <x:v>Adquirido</x:v>
      </x:c>
      <x:c r="E44" s="14" t="n">
        <x:v>1</x:v>
      </x:c>
      <x:c r="F44" s="13" t="n">
        <x:f>IF(ISNUMBER(E44),MAX(0,C44-E44),"Pendente")</x:f>
        <x:v>0</x:v>
      </x:c>
      <x:c r="G44" s="13" t="n">
        <x:f>IF(ISNUMBER(E44),MAX(0,E44-C44),"Pendente")</x:f>
        <x:v>1</x:v>
      </x:c>
      <x:c r="H44" s="1"/>
      <x:c r="I44" s="10" t="str">
        <x:v>Reserva; CAN não implementado.</x:v>
      </x:c>
    </x:row>
    <x:row r="45" ht="39" customHeight="1">
      <x:c r="A45" s="10" t="str">
        <x:v>rg_external</x:v>
      </x:c>
      <x:c r="B45" s="10" t="str">
        <x:v>Rg externo 10 kΩ</x:v>
      </x:c>
      <x:c r="C45" s="13" t="n">
        <x:v>0</x:v>
      </x:c>
      <x:c r="D45" s="12" t="str">
        <x:v>Compra anterior declarada</x:v>
      </x:c>
      <x:c r="E45" s="14" t="str">
        <x:v>Pendente</x:v>
      </x:c>
      <x:c r="F45" s="13" t="str">
        <x:f>IF(ISNUMBER(E45),MAX(0,C45-E45),"Pendente")</x:f>
        <x:v>Pendente</x:v>
      </x:c>
      <x:c r="G45" s="13" t="str">
        <x:f>IF(ISNUMBER(E45),MAX(0,E45-C45),"Pendente")</x:f>
        <x:v>Pendente</x:v>
      </x:c>
      <x:c r="H45" s="1"/>
      <x:c r="I45" s="10" t="str">
        <x:v>Não montar: CJMCU usa ajuste interno. Não confundir com os cinco 10k funcionais.</x:v>
      </x:c>
    </x:row>
    <x:row r="46" ht="39" customHeight="1">
      <x:c r="A46" s="10" t="str">
        <x:v>zener</x:v>
      </x:c>
      <x:c r="B46" s="10" t="str">
        <x:v>Zener de entrada 3,3 V</x:v>
      </x:c>
      <x:c r="C46" s="13" t="n">
        <x:v>0</x:v>
      </x:c>
      <x:c r="D46" s="12" t="str">
        <x:v>Compra anterior declarada</x:v>
      </x:c>
      <x:c r="E46" s="14" t="str">
        <x:v>Pendente</x:v>
      </x:c>
      <x:c r="F46" s="13" t="str">
        <x:f>IF(ISNUMBER(E46),MAX(0,C46-E46),"Pendente")</x:f>
        <x:v>Pendente</x:v>
      </x:c>
      <x:c r="G46" s="13" t="str">
        <x:f>IF(ISNUMBER(E46),MAX(0,E46-C46),"Pendente")</x:f>
        <x:v>Pendente</x:v>
      </x:c>
      <x:c r="H46" s="1"/>
      <x:c r="I46" s="10" t="str">
        <x:v>Não montar: fuga e limite inadequado não substituem janela ADC ou sequência OFF.</x:v>
      </x:c>
    </x:row>
    <x:row r="47" ht="39" customHeight="1">
      <x:c r="A47" s="10" t="str">
        <x:v>or_diode</x:v>
      </x:c>
      <x:c r="B47" s="10" t="str">
        <x:v>Diodo OR antigo 1N5819</x:v>
      </x:c>
      <x:c r="C47" s="13" t="n">
        <x:v>0</x:v>
      </x:c>
      <x:c r="D47" s="12" t="str">
        <x:v>Compra anterior declarada</x:v>
      </x:c>
      <x:c r="E47" s="14" t="str">
        <x:v>Pendente</x:v>
      </x:c>
      <x:c r="F47" s="13" t="str">
        <x:f>IF(ISNUMBER(E47),MAX(0,C47-E47),"Pendente")</x:f>
        <x:v>Pendente</x:v>
      </x:c>
      <x:c r="G47" s="13" t="str">
        <x:f>IF(ISNUMBER(E47),MAX(0,E47-C47),"Pendente")</x:f>
        <x:v>Pendente</x:v>
      </x:c>
      <x:c r="H47" s="1"/>
      <x:c r="I47" s="10" t="str">
        <x:v>Não montar OR: queda nos rails; carga somente OFF, sem PowerPath.</x:v>
      </x:c>
    </x:row>
  </x:sheetData>
  <x:conditionalFormatting sqref="F7:G47">
    <x:cfRule type="containsText" dxfId="0" priority="1" operator="containsText" text="Pendente"/>
  </x:conditionalFormatting>
  <x:pageMargins left="0.7" right="0.7" top="0.75" bottom="0.75" header="0.3" footer="0.3"/>
</x:worksheet>
</file>